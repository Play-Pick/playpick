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3"/>
  </sheets>
  <definedNames/>
  <calcPr/>
</workbook>
</file>

<file path=xl/sharedStrings.xml><?xml version="1.0" encoding="utf-8"?>
<sst xmlns="http://schemas.openxmlformats.org/spreadsheetml/2006/main" count="102" uniqueCount="63">
  <si>
    <t>Gantt Chart</t>
  </si>
  <si>
    <t>프로젝트 이름</t>
  </si>
  <si>
    <t>공연추천프로젝트(가제 : play pick)</t>
  </si>
  <si>
    <t>회사명</t>
  </si>
  <si>
    <t>SSAFY 14기 부울경 1반</t>
  </si>
  <si>
    <t>프로젝트 관리자</t>
  </si>
  <si>
    <t>이재호[팀장], 임경수[팀원]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</si>
  <si>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</si>
  <si>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</si>
  <si>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</si>
  <si>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</si>
  <si>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</si>
  <si>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</si>
  <si>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</si>
  <si>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</si>
  <si>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주차별 실행일정</t>
  </si>
  <si>
    <t>0주</t>
  </si>
  <si>
    <t>1주</t>
  </si>
  <si>
    <t>2주</t>
  </si>
  <si>
    <t>3주</t>
  </si>
  <si>
    <t>금</t>
  </si>
  <si>
    <t>월</t>
  </si>
  <si>
    <t>화</t>
  </si>
  <si>
    <t>수</t>
  </si>
  <si>
    <t>목</t>
  </si>
  <si>
    <t>프로젝트 기획 및 설계</t>
  </si>
  <si>
    <t>아이디어 구상</t>
  </si>
  <si>
    <t>이재호</t>
  </si>
  <si>
    <t>1.1.1</t>
  </si>
  <si>
    <t>기존 서비스 조사</t>
  </si>
  <si>
    <t>KOPIS 데이터 분석</t>
  </si>
  <si>
    <t>임경수</t>
  </si>
  <si>
    <t>요구사항 구체화</t>
  </si>
  <si>
    <t>서비스/화면 설계</t>
  </si>
  <si>
    <t>ERD 설계</t>
  </si>
  <si>
    <t>API &amp; 추천 공식 설계</t>
  </si>
  <si>
    <t>백엔드(Django) 개발</t>
  </si>
  <si>
    <t>Django 프로젝트/앱 세팅</t>
  </si>
  <si>
    <t>도메인 모델 구현</t>
  </si>
  <si>
    <t>KOPIS API 연동 및 데이터 적재</t>
  </si>
  <si>
    <t>공연 목록/검색 API 구현</t>
  </si>
  <si>
    <t>추천 API(베이스 점수) 구현</t>
  </si>
  <si>
    <t>인증/권한(로그인·토큰) 구현</t>
  </si>
  <si>
    <t>프론트엔드(Vue) 개발</t>
  </si>
  <si>
    <t>Vue 프로젝트 세팅</t>
  </si>
  <si>
    <t>라우팅/레이아웃 구성</t>
  </si>
  <si>
    <t>로그인/회원가입 화면</t>
  </si>
  <si>
    <t>온보딩(선호 설정) 화면</t>
  </si>
  <si>
    <t>메인(추천 리스트) 화면</t>
  </si>
  <si>
    <t>공연 검색/필터 화면</t>
  </si>
  <si>
    <t>공연 상세 + 레이더 차트</t>
  </si>
  <si>
    <t>추천 알고리즘 구현·고도화</t>
  </si>
  <si>
    <t>사용자 로그 수집 로직 구현</t>
  </si>
  <si>
    <t>로그 기반 점수 반영</t>
  </si>
  <si>
    <t>추천 사유 생성 로직 구현</t>
  </si>
  <si>
    <t>유사 공연 추천(아이템 기반)</t>
  </si>
  <si>
    <t>가중치 튜닝 및 테스트</t>
  </si>
  <si>
    <t>통합 테스트·배포·문서화</t>
  </si>
  <si>
    <t>통합 테스트(핵심 플로우)</t>
  </si>
  <si>
    <t>버그 수정 및 성능 튜닝</t>
  </si>
  <si>
    <t>데모 데이터·시나리오 정리</t>
  </si>
  <si>
    <t>배포/데모 환경 구축</t>
  </si>
  <si>
    <t>최종 문서화 및 발표 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</si>
</sst>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27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sz val="11.0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A4C2F4"/>
        <bgColor rgb="FFA4C2F4"/>
      </patternFill>
    </fill>
    <fill>
      <patternFill patternType="solid">
        <fgColor rgb="FF73C79E"/>
        <bgColor rgb="FF73C79E"/>
      </patternFill>
    </fill>
  </fills>
  <borders count="23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right style="thin">
        <color rgb="FFB7B7B7"/>
      </right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hair">
        <color rgb="FFB7B7B7"/>
      </right>
      <bottom style="thin">
        <color rgb="FFB7B7B7"/>
      </bottom>
    </border>
    <border>
      <left style="hair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horizontal="center" readingOrder="0" shrinkToFit="0" vertical="center" wrapText="0"/>
    </xf>
    <xf borderId="1" fillId="0" fontId="8" numFmtId="0" xfId="0" applyBorder="1" applyFont="1"/>
    <xf borderId="0" fillId="0" fontId="9" numFmtId="0" xfId="0" applyAlignment="1" applyFont="1">
      <alignment vertical="center"/>
    </xf>
    <xf borderId="0" fillId="2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  <xf borderId="2" fillId="0" fontId="15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6" numFmtId="0" xfId="0" applyAlignment="1" applyBorder="1" applyFont="1">
      <alignment horizontal="center"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2" fillId="0" fontId="16" numFmtId="0" xfId="0" applyAlignment="1" applyBorder="1" applyFont="1">
      <alignment horizontal="left" readingOrder="0" vertical="center"/>
    </xf>
    <xf borderId="2" fillId="0" fontId="16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2" fillId="0" fontId="16" numFmtId="164" xfId="0" applyAlignment="1" applyBorder="1" applyFont="1" applyNumberFormat="1">
      <alignment horizontal="left" readingOrder="0" vertical="center"/>
    </xf>
    <xf borderId="0" fillId="0" fontId="1" numFmtId="0" xfId="0" applyFont="1"/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3" fontId="18" numFmtId="0" xfId="0" applyAlignment="1" applyFill="1" applyFont="1">
      <alignment horizontal="center" readingOrder="0" shrinkToFit="0" vertical="center" wrapText="1"/>
    </xf>
    <xf borderId="3" fillId="4" fontId="19" numFmtId="0" xfId="0" applyAlignment="1" applyBorder="1" applyFill="1" applyFon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4" fillId="5" fontId="19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0" fillId="0" fontId="21" numFmtId="0" xfId="0" applyAlignment="1" applyFont="1">
      <alignment vertical="center"/>
    </xf>
    <xf borderId="7" fillId="6" fontId="22" numFmtId="0" xfId="0" applyAlignment="1" applyBorder="1" applyFill="1" applyFont="1">
      <alignment horizontal="center" readingOrder="0" shrinkToFit="0" vertical="center" wrapText="0"/>
    </xf>
    <xf borderId="8" fillId="7" fontId="23" numFmtId="0" xfId="0" applyAlignment="1" applyBorder="1" applyFill="1" applyFont="1">
      <alignment horizontal="left" readingOrder="0" shrinkToFit="0" vertical="center" wrapText="1"/>
    </xf>
    <xf borderId="8" fillId="7" fontId="23" numFmtId="0" xfId="0" applyAlignment="1" applyBorder="1" applyFont="1">
      <alignment readingOrder="0" shrinkToFit="0" vertical="center" wrapText="0"/>
    </xf>
    <xf borderId="8" fillId="7" fontId="23" numFmtId="0" xfId="0" applyAlignment="1" applyBorder="1" applyFont="1">
      <alignment horizontal="center" readingOrder="0" shrinkToFit="0" vertical="center" wrapText="1"/>
    </xf>
    <xf borderId="8" fillId="7" fontId="23" numFmtId="0" xfId="0" applyAlignment="1" applyBorder="1" applyFont="1">
      <alignment readingOrder="0" shrinkToFit="0" vertical="center" wrapText="1"/>
    </xf>
    <xf borderId="0" fillId="7" fontId="23" numFmtId="0" xfId="0" applyAlignment="1" applyFont="1">
      <alignment horizontal="center" shrinkToFit="0" vertical="center" wrapText="0"/>
    </xf>
    <xf borderId="0" fillId="7" fontId="23" numFmtId="165" xfId="0" applyAlignment="1" applyFont="1" applyNumberFormat="1">
      <alignment horizontal="center" shrinkToFit="0" vertical="center" wrapText="0"/>
    </xf>
    <xf borderId="0" fillId="7" fontId="23" numFmtId="3" xfId="0" applyAlignment="1" applyFont="1" applyNumberFormat="1">
      <alignment horizontal="center" shrinkToFit="0" vertical="center" wrapText="0"/>
    </xf>
    <xf borderId="0" fillId="7" fontId="23" numFmtId="0" xfId="0" applyAlignment="1" applyFont="1">
      <alignment horizontal="center" shrinkToFit="0" vertical="center" wrapText="0"/>
    </xf>
    <xf borderId="9" fillId="7" fontId="23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vertical="center"/>
    </xf>
    <xf borderId="10" fillId="0" fontId="25" numFmtId="0" xfId="0" applyAlignment="1" applyBorder="1" applyFont="1">
      <alignment horizontal="left" readingOrder="0" shrinkToFit="0" vertical="center" wrapText="1"/>
    </xf>
    <xf borderId="10" fillId="0" fontId="25" numFmtId="0" xfId="0" applyAlignment="1" applyBorder="1" applyFont="1">
      <alignment readingOrder="0" shrinkToFit="0" vertical="center" wrapText="1"/>
    </xf>
    <xf borderId="10" fillId="0" fontId="25" numFmtId="0" xfId="0" applyAlignment="1" applyBorder="1" applyFont="1">
      <alignment horizontal="center" readingOrder="0" shrinkToFit="0" vertical="center" wrapText="1"/>
    </xf>
    <xf borderId="10" fillId="0" fontId="25" numFmtId="164" xfId="0" applyAlignment="1" applyBorder="1" applyFont="1" applyNumberFormat="1">
      <alignment horizontal="left" readingOrder="0" shrinkToFit="0" vertical="center" wrapText="1"/>
    </xf>
    <xf borderId="10" fillId="0" fontId="25" numFmtId="9" xfId="0" applyAlignment="1" applyBorder="1" applyFont="1" applyNumberFormat="1">
      <alignment horizontal="center" readingOrder="0" shrinkToFit="0" vertical="center" wrapText="1"/>
    </xf>
    <xf borderId="11" fillId="8" fontId="26" numFmtId="0" xfId="0" applyAlignment="1" applyBorder="1" applyFill="1" applyFont="1">
      <alignment horizontal="center" shrinkToFit="0" vertical="center" wrapText="0"/>
    </xf>
    <xf borderId="11" fillId="0" fontId="26" numFmtId="0" xfId="0" applyAlignment="1" applyBorder="1" applyFont="1">
      <alignment horizontal="center" shrinkToFit="0" vertical="center" wrapText="0"/>
    </xf>
    <xf borderId="11" fillId="0" fontId="26" numFmtId="165" xfId="0" applyAlignment="1" applyBorder="1" applyFont="1" applyNumberFormat="1">
      <alignment horizontal="center" shrinkToFit="0" vertical="center" wrapText="0"/>
    </xf>
    <xf borderId="11" fillId="9" fontId="26" numFmtId="0" xfId="0" applyAlignment="1" applyBorder="1" applyFill="1" applyFont="1">
      <alignment horizontal="center" shrinkToFit="0" vertical="center" wrapText="0"/>
    </xf>
    <xf borderId="11" fillId="0" fontId="26" numFmtId="0" xfId="0" applyAlignment="1" applyBorder="1" applyFont="1">
      <alignment horizontal="center" shrinkToFit="0" vertical="center" wrapText="0"/>
    </xf>
    <xf borderId="12" fillId="0" fontId="26" numFmtId="0" xfId="0" applyAlignment="1" applyBorder="1" applyFont="1">
      <alignment horizontal="center" shrinkToFit="0" vertical="center" wrapText="0"/>
    </xf>
    <xf borderId="13" fillId="0" fontId="26" numFmtId="0" xfId="0" applyAlignment="1" applyBorder="1" applyFont="1">
      <alignment horizontal="center" shrinkToFit="0" vertical="center" wrapText="0"/>
    </xf>
    <xf borderId="13" fillId="0" fontId="26" numFmtId="165" xfId="0" applyAlignment="1" applyBorder="1" applyFont="1" applyNumberFormat="1">
      <alignment horizontal="center" shrinkToFit="0" vertical="center" wrapText="0"/>
    </xf>
    <xf borderId="13" fillId="0" fontId="26" numFmtId="0" xfId="0" applyAlignment="1" applyBorder="1" applyFont="1">
      <alignment horizontal="center" shrinkToFit="0" vertical="center" wrapText="0"/>
    </xf>
    <xf borderId="13" fillId="9" fontId="26" numFmtId="0" xfId="0" applyAlignment="1" applyBorder="1" applyFont="1">
      <alignment horizontal="center" shrinkToFit="0" vertical="center" wrapText="0"/>
    </xf>
    <xf borderId="13" fillId="9" fontId="26" numFmtId="0" xfId="0" applyAlignment="1" applyBorder="1" applyFont="1">
      <alignment horizontal="center" shrinkToFit="0" vertical="center" wrapText="0"/>
    </xf>
    <xf borderId="14" fillId="0" fontId="26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25" numFmtId="164" xfId="0" applyAlignment="1" applyFont="1" applyNumberForma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5" numFmtId="9" xfId="0" applyAlignment="1" applyFont="1" applyNumberFormat="1">
      <alignment horizontal="center" readingOrder="0" shrinkToFit="0" vertical="center" wrapText="1"/>
    </xf>
    <xf borderId="15" fillId="0" fontId="26" numFmtId="0" xfId="0" applyAlignment="1" applyBorder="1" applyFont="1">
      <alignment horizontal="center" shrinkToFit="0" vertical="center" wrapText="0"/>
    </xf>
    <xf borderId="15" fillId="0" fontId="26" numFmtId="165" xfId="0" applyAlignment="1" applyBorder="1" applyFont="1" applyNumberFormat="1">
      <alignment horizontal="center" shrinkToFit="0" vertical="center" wrapText="0"/>
    </xf>
    <xf borderId="15" fillId="9" fontId="26" numFmtId="0" xfId="0" applyAlignment="1" applyBorder="1" applyFont="1">
      <alignment horizontal="center" shrinkToFit="0" vertical="center" wrapText="0"/>
    </xf>
    <xf borderId="16" fillId="9" fontId="26" numFmtId="9" xfId="0" applyAlignment="1" applyBorder="1" applyFont="1" applyNumberFormat="1">
      <alignment horizontal="center" shrinkToFit="0" vertical="center" wrapText="0"/>
    </xf>
    <xf borderId="11" fillId="10" fontId="26" numFmtId="0" xfId="0" applyAlignment="1" applyBorder="1" applyFill="1" applyFont="1">
      <alignment horizontal="center" shrinkToFit="0" vertical="center" wrapText="0"/>
    </xf>
    <xf borderId="10" fillId="11" fontId="25" numFmtId="9" xfId="0" applyAlignment="1" applyBorder="1" applyFill="1" applyFont="1" applyNumberFormat="1">
      <alignment horizontal="center" readingOrder="0" shrinkToFit="0" vertical="center" wrapText="1"/>
    </xf>
    <xf borderId="17" fillId="0" fontId="26" numFmtId="9" xfId="0" applyAlignment="1" applyBorder="1" applyFont="1" applyNumberFormat="1">
      <alignment horizontal="center" shrinkToFit="0" vertical="center" wrapText="0"/>
    </xf>
    <xf borderId="14" fillId="0" fontId="26" numFmtId="0" xfId="0" applyAlignment="1" applyBorder="1" applyFont="1">
      <alignment horizontal="center" shrinkToFit="0" vertical="center" wrapText="0"/>
    </xf>
    <xf borderId="18" fillId="0" fontId="26" numFmtId="9" xfId="0" applyAlignment="1" applyBorder="1" applyFont="1" applyNumberFormat="1">
      <alignment horizontal="center" shrinkToFit="0" vertical="center" wrapText="0"/>
    </xf>
    <xf borderId="19" fillId="9" fontId="26" numFmtId="9" xfId="0" applyAlignment="1" applyBorder="1" applyFont="1" applyNumberFormat="1">
      <alignment horizontal="center" shrinkToFit="0" vertical="center" wrapText="0"/>
    </xf>
    <xf borderId="20" fillId="0" fontId="26" numFmtId="165" xfId="0" applyAlignment="1" applyBorder="1" applyFont="1" applyNumberFormat="1">
      <alignment horizontal="center" shrinkToFit="0" vertical="center" wrapText="0"/>
    </xf>
    <xf borderId="21" fillId="9" fontId="26" numFmtId="0" xfId="0" applyAlignment="1" applyBorder="1" applyFont="1">
      <alignment horizontal="center" shrinkToFit="0" vertical="center" wrapText="0"/>
    </xf>
    <xf borderId="21" fillId="10" fontId="26" numFmtId="0" xfId="0" applyAlignment="1" applyBorder="1" applyFont="1">
      <alignment horizontal="center" shrinkToFit="0" vertical="center" wrapText="0"/>
    </xf>
    <xf borderId="21" fillId="0" fontId="26" numFmtId="0" xfId="0" applyAlignment="1" applyBorder="1" applyFont="1">
      <alignment horizontal="center" shrinkToFit="0" vertical="center" wrapText="0"/>
    </xf>
    <xf borderId="22" fillId="0" fontId="2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24" width="3.88"/>
    <col customWidth="1" min="25" max="69" width="3.0"/>
    <col customWidth="1" min="70" max="70" width="3.38"/>
  </cols>
  <sheetData>
    <row r="1" ht="21.0" customHeight="1">
      <c r="A1" s="1"/>
      <c r="B1" s="2"/>
      <c r="C1" s="3"/>
      <c r="D1" s="4"/>
      <c r="E1" s="3"/>
      <c r="F1" s="5"/>
      <c r="G1" s="5"/>
      <c r="H1" s="3"/>
      <c r="I1" s="4"/>
      <c r="J1" s="4"/>
      <c r="K1" s="6"/>
      <c r="L1" s="7"/>
      <c r="M1" s="8"/>
      <c r="N1" s="7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0"/>
      <c r="AF1" s="10"/>
      <c r="AG1" s="10"/>
      <c r="AH1" s="10"/>
      <c r="AI1" s="10"/>
      <c r="AJ1" s="10"/>
      <c r="AK1" s="10"/>
      <c r="AL1" s="10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4"/>
      <c r="AL2" s="14"/>
      <c r="AM2" s="14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15"/>
      <c r="C3" s="15"/>
      <c r="D3" s="16"/>
      <c r="E3" s="17"/>
      <c r="F3" s="17"/>
      <c r="G3" s="17"/>
      <c r="H3" s="17"/>
      <c r="I3" s="18"/>
      <c r="J3" s="18"/>
      <c r="K3" s="18"/>
      <c r="L3" s="18"/>
      <c r="M3" s="18"/>
      <c r="N3" s="19"/>
      <c r="O3" s="19"/>
      <c r="P3" s="19"/>
      <c r="Q3" s="1"/>
      <c r="R3" s="1"/>
      <c r="S3" s="1"/>
      <c r="T3" s="1"/>
      <c r="U3" s="1"/>
      <c r="V3" s="1"/>
      <c r="W3" s="1"/>
      <c r="X3" s="1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0"/>
      <c r="AK3" s="10"/>
      <c r="AL3" s="10"/>
      <c r="AM3" s="10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1"/>
      <c r="B4" s="20" t="s">
        <v>1</v>
      </c>
      <c r="C4" s="21"/>
      <c r="D4" s="22" t="s">
        <v>2</v>
      </c>
      <c r="E4" s="21"/>
      <c r="F4" s="21"/>
      <c r="G4" s="21"/>
      <c r="H4" s="23"/>
      <c r="I4" s="20" t="s">
        <v>3</v>
      </c>
      <c r="J4" s="21"/>
      <c r="K4" s="21"/>
      <c r="L4" s="21"/>
      <c r="M4" s="21"/>
      <c r="N4" s="21"/>
      <c r="O4" s="21"/>
      <c r="P4" s="21"/>
      <c r="Q4" s="24" t="s">
        <v>4</v>
      </c>
      <c r="R4" s="21"/>
      <c r="S4" s="21"/>
      <c r="T4" s="21"/>
      <c r="U4" s="21"/>
      <c r="V4" s="21"/>
      <c r="W4" s="21"/>
      <c r="X4" s="21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0"/>
      <c r="AK4" s="10"/>
      <c r="AL4" s="10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21.0" customHeight="1">
      <c r="A5" s="1"/>
      <c r="B5" s="20" t="s">
        <v>5</v>
      </c>
      <c r="C5" s="21"/>
      <c r="D5" s="25" t="s">
        <v>6</v>
      </c>
      <c r="E5" s="21"/>
      <c r="F5" s="21"/>
      <c r="G5" s="21"/>
      <c r="H5" s="26"/>
      <c r="I5" s="20" t="s">
        <v>7</v>
      </c>
      <c r="J5" s="21"/>
      <c r="K5" s="21"/>
      <c r="L5" s="21"/>
      <c r="M5" s="21"/>
      <c r="N5" s="21"/>
      <c r="O5" s="21"/>
      <c r="P5" s="21"/>
      <c r="Q5" s="27">
        <v>45996.0</v>
      </c>
      <c r="R5" s="21"/>
      <c r="S5" s="21"/>
      <c r="T5" s="21"/>
      <c r="U5" s="21"/>
      <c r="V5" s="21"/>
      <c r="W5" s="21"/>
      <c r="X5" s="21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"/>
      <c r="AK5" s="1"/>
      <c r="AL5" s="1"/>
      <c r="AM5" s="28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21.0" customHeight="1">
      <c r="A6" s="13"/>
      <c r="B6" s="29"/>
      <c r="C6" s="29"/>
      <c r="D6" s="30"/>
      <c r="E6" s="29"/>
      <c r="F6" s="29"/>
      <c r="G6" s="30"/>
      <c r="H6" s="30"/>
      <c r="I6" s="29"/>
      <c r="J6" s="29"/>
      <c r="K6" s="29"/>
      <c r="L6" s="29"/>
      <c r="M6" s="29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</row>
    <row r="7" ht="21.0" customHeight="1">
      <c r="A7" s="13"/>
      <c r="B7" s="29"/>
      <c r="C7" s="29"/>
      <c r="D7" s="30"/>
      <c r="E7" s="29"/>
      <c r="F7" s="29"/>
      <c r="G7" s="30"/>
      <c r="H7" s="30"/>
      <c r="I7" s="29"/>
      <c r="J7" s="29"/>
      <c r="K7" s="29"/>
      <c r="L7" s="29"/>
      <c r="M7" s="29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</row>
    <row r="8" ht="17.25" customHeight="1">
      <c r="A8" s="31"/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3" t="s">
        <v>15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</row>
    <row r="9" ht="17.25" customHeight="1">
      <c r="A9" s="34"/>
      <c r="I9" s="35" t="s">
        <v>16</v>
      </c>
      <c r="J9" s="35" t="s">
        <v>17</v>
      </c>
      <c r="K9" s="36"/>
      <c r="L9" s="36"/>
      <c r="M9" s="36"/>
      <c r="N9" s="37"/>
      <c r="O9" s="35" t="s">
        <v>18</v>
      </c>
      <c r="P9" s="36"/>
      <c r="Q9" s="36"/>
      <c r="R9" s="36"/>
      <c r="S9" s="37"/>
      <c r="T9" s="35" t="s">
        <v>19</v>
      </c>
      <c r="U9" s="36"/>
      <c r="V9" s="36"/>
      <c r="W9" s="36"/>
      <c r="X9" s="37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34"/>
    </row>
    <row r="10" ht="17.25" customHeight="1">
      <c r="A10" s="38"/>
      <c r="I10" s="39" t="s">
        <v>20</v>
      </c>
      <c r="J10" s="39" t="s">
        <v>21</v>
      </c>
      <c r="K10" s="39" t="s">
        <v>22</v>
      </c>
      <c r="L10" s="39" t="s">
        <v>23</v>
      </c>
      <c r="M10" s="39" t="s">
        <v>24</v>
      </c>
      <c r="N10" s="39" t="s">
        <v>20</v>
      </c>
      <c r="O10" s="39" t="s">
        <v>21</v>
      </c>
      <c r="P10" s="39" t="s">
        <v>22</v>
      </c>
      <c r="Q10" s="39" t="s">
        <v>23</v>
      </c>
      <c r="R10" s="39" t="s">
        <v>24</v>
      </c>
      <c r="S10" s="39" t="s">
        <v>20</v>
      </c>
      <c r="T10" s="39" t="s">
        <v>21</v>
      </c>
      <c r="U10" s="39" t="s">
        <v>22</v>
      </c>
      <c r="V10" s="39" t="s">
        <v>23</v>
      </c>
      <c r="W10" s="39" t="s">
        <v>24</v>
      </c>
      <c r="X10" s="39" t="s">
        <v>20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38"/>
    </row>
    <row r="11" ht="21.0" customHeight="1">
      <c r="A11" s="13"/>
      <c r="B11" s="40">
        <v>1.0</v>
      </c>
      <c r="C11" s="41" t="s">
        <v>25</v>
      </c>
      <c r="D11" s="42"/>
      <c r="E11" s="43"/>
      <c r="F11" s="43"/>
      <c r="G11" s="43"/>
      <c r="H11" s="43"/>
      <c r="I11" s="44"/>
      <c r="J11" s="44"/>
      <c r="K11" s="45"/>
      <c r="L11" s="46"/>
      <c r="M11" s="46"/>
      <c r="N11" s="47"/>
      <c r="O11" s="44"/>
      <c r="P11" s="47"/>
      <c r="Q11" s="44"/>
      <c r="R11" s="47"/>
      <c r="S11" s="47"/>
      <c r="T11" s="47"/>
      <c r="U11" s="47"/>
      <c r="V11" s="47"/>
      <c r="W11" s="47"/>
      <c r="X11" s="48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</row>
    <row r="12" ht="17.25" customHeight="1" outlineLevel="1">
      <c r="A12" s="49"/>
      <c r="B12" s="50">
        <v>1.1</v>
      </c>
      <c r="C12" s="51" t="s">
        <v>26</v>
      </c>
      <c r="D12" s="52" t="s">
        <v>27</v>
      </c>
      <c r="E12" s="53">
        <v>43171.0</v>
      </c>
      <c r="F12" s="53">
        <v>43174.0</v>
      </c>
      <c r="G12" s="52">
        <f t="shared" ref="G12:G18" si="1">DAYS360(E12,F12)</f>
        <v>3</v>
      </c>
      <c r="H12" s="54">
        <v>1.0</v>
      </c>
      <c r="I12" s="55"/>
      <c r="J12" s="56"/>
      <c r="K12" s="57"/>
      <c r="L12" s="56"/>
      <c r="M12" s="56"/>
      <c r="N12" s="56"/>
      <c r="O12" s="58"/>
      <c r="P12" s="58"/>
      <c r="Q12" s="58"/>
      <c r="R12" s="58"/>
      <c r="S12" s="58"/>
      <c r="T12" s="59"/>
      <c r="U12" s="59"/>
      <c r="V12" s="59"/>
      <c r="W12" s="59"/>
      <c r="X12" s="60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49"/>
    </row>
    <row r="13" ht="17.25" customHeight="1" outlineLevel="1">
      <c r="A13" s="49"/>
      <c r="B13" s="50" t="s">
        <v>28</v>
      </c>
      <c r="C13" s="51" t="s">
        <v>29</v>
      </c>
      <c r="D13" s="52" t="s">
        <v>27</v>
      </c>
      <c r="E13" s="53">
        <v>45995.0</v>
      </c>
      <c r="F13" s="53">
        <v>45996.0</v>
      </c>
      <c r="G13" s="52">
        <f t="shared" si="1"/>
        <v>1</v>
      </c>
      <c r="H13" s="54">
        <v>1.0</v>
      </c>
      <c r="I13" s="55"/>
      <c r="J13" s="61"/>
      <c r="K13" s="62"/>
      <c r="L13" s="61"/>
      <c r="M13" s="61"/>
      <c r="N13" s="63"/>
      <c r="O13" s="64"/>
      <c r="P13" s="65"/>
      <c r="Q13" s="65"/>
      <c r="R13" s="65"/>
      <c r="S13" s="65"/>
      <c r="T13" s="63"/>
      <c r="U13" s="63"/>
      <c r="V13" s="63"/>
      <c r="W13" s="63"/>
      <c r="X13" s="66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49"/>
    </row>
    <row r="14" ht="17.25" customHeight="1" outlineLevel="1">
      <c r="A14" s="49"/>
      <c r="B14" s="50">
        <v>1.2</v>
      </c>
      <c r="C14" s="51" t="s">
        <v>30</v>
      </c>
      <c r="D14" s="52" t="s">
        <v>31</v>
      </c>
      <c r="E14" s="53">
        <v>45995.0</v>
      </c>
      <c r="F14" s="53">
        <v>45996.0</v>
      </c>
      <c r="G14" s="52">
        <f t="shared" si="1"/>
        <v>1</v>
      </c>
      <c r="H14" s="54">
        <v>1.0</v>
      </c>
      <c r="I14" s="55"/>
      <c r="J14" s="61"/>
      <c r="K14" s="62"/>
      <c r="L14" s="61"/>
      <c r="M14" s="61"/>
      <c r="N14" s="63"/>
      <c r="O14" s="65"/>
      <c r="P14" s="65"/>
      <c r="Q14" s="65"/>
      <c r="R14" s="65"/>
      <c r="S14" s="65"/>
      <c r="T14" s="63"/>
      <c r="U14" s="63"/>
      <c r="V14" s="63"/>
      <c r="W14" s="63"/>
      <c r="X14" s="66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49"/>
    </row>
    <row r="15" ht="17.25" customHeight="1" outlineLevel="1">
      <c r="A15" s="49"/>
      <c r="B15" s="50">
        <v>1.3</v>
      </c>
      <c r="C15" s="51" t="s">
        <v>32</v>
      </c>
      <c r="D15" s="52" t="s">
        <v>27</v>
      </c>
      <c r="E15" s="53">
        <v>45995.0</v>
      </c>
      <c r="F15" s="53">
        <v>45996.0</v>
      </c>
      <c r="G15" s="52">
        <f t="shared" si="1"/>
        <v>1</v>
      </c>
      <c r="H15" s="54">
        <v>1.0</v>
      </c>
      <c r="I15" s="55"/>
      <c r="J15" s="61"/>
      <c r="K15" s="62"/>
      <c r="L15" s="61"/>
      <c r="M15" s="61"/>
      <c r="N15" s="63"/>
      <c r="O15" s="65"/>
      <c r="P15" s="65"/>
      <c r="Q15" s="65"/>
      <c r="R15" s="65"/>
      <c r="S15" s="65"/>
      <c r="T15" s="63"/>
      <c r="U15" s="63"/>
      <c r="V15" s="63"/>
      <c r="W15" s="63"/>
      <c r="X15" s="66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49"/>
    </row>
    <row r="16" ht="17.25" customHeight="1" outlineLevel="1">
      <c r="A16" s="49"/>
      <c r="B16" s="50">
        <v>1.4</v>
      </c>
      <c r="C16" s="51" t="s">
        <v>33</v>
      </c>
      <c r="D16" s="52" t="s">
        <v>27</v>
      </c>
      <c r="E16" s="53">
        <v>45995.0</v>
      </c>
      <c r="F16" s="53">
        <v>45996.0</v>
      </c>
      <c r="G16" s="52">
        <f t="shared" si="1"/>
        <v>1</v>
      </c>
      <c r="H16" s="54">
        <v>1.0</v>
      </c>
      <c r="I16" s="55"/>
      <c r="J16" s="61"/>
      <c r="K16" s="62"/>
      <c r="L16" s="61"/>
      <c r="M16" s="61"/>
      <c r="N16" s="63"/>
      <c r="O16" s="65"/>
      <c r="P16" s="65"/>
      <c r="Q16" s="65"/>
      <c r="R16" s="65"/>
      <c r="S16" s="65"/>
      <c r="T16" s="63"/>
      <c r="U16" s="63"/>
      <c r="V16" s="63"/>
      <c r="W16" s="63"/>
      <c r="X16" s="66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49"/>
    </row>
    <row r="17" ht="17.25" customHeight="1" outlineLevel="1">
      <c r="A17" s="49"/>
      <c r="B17" s="50">
        <v>1.5</v>
      </c>
      <c r="C17" s="51" t="s">
        <v>34</v>
      </c>
      <c r="D17" s="52" t="s">
        <v>31</v>
      </c>
      <c r="E17" s="53">
        <v>45995.0</v>
      </c>
      <c r="F17" s="53">
        <v>45996.0</v>
      </c>
      <c r="G17" s="52">
        <f t="shared" si="1"/>
        <v>1</v>
      </c>
      <c r="H17" s="54">
        <v>1.0</v>
      </c>
      <c r="I17" s="55"/>
      <c r="J17" s="61"/>
      <c r="K17" s="62"/>
      <c r="L17" s="63"/>
      <c r="M17" s="63"/>
      <c r="N17" s="63"/>
      <c r="O17" s="65"/>
      <c r="P17" s="65"/>
      <c r="Q17" s="65"/>
      <c r="R17" s="65"/>
      <c r="S17" s="65"/>
      <c r="T17" s="63"/>
      <c r="U17" s="63"/>
      <c r="V17" s="63"/>
      <c r="W17" s="63"/>
      <c r="X17" s="66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49"/>
    </row>
    <row r="18" ht="17.25" customHeight="1" outlineLevel="1">
      <c r="A18" s="49"/>
      <c r="B18" s="67">
        <v>1.6</v>
      </c>
      <c r="C18" s="68" t="s">
        <v>35</v>
      </c>
      <c r="D18" s="52" t="s">
        <v>31</v>
      </c>
      <c r="E18" s="69">
        <v>45995.0</v>
      </c>
      <c r="F18" s="53">
        <v>45996.0</v>
      </c>
      <c r="G18" s="70">
        <f t="shared" si="1"/>
        <v>1</v>
      </c>
      <c r="H18" s="71">
        <v>1.0</v>
      </c>
      <c r="I18" s="55"/>
      <c r="J18" s="72"/>
      <c r="K18" s="73"/>
      <c r="L18" s="72"/>
      <c r="M18" s="72"/>
      <c r="N18" s="72"/>
      <c r="O18" s="74"/>
      <c r="P18" s="74"/>
      <c r="Q18" s="74"/>
      <c r="R18" s="74"/>
      <c r="S18" s="74"/>
      <c r="T18" s="72"/>
      <c r="U18" s="72"/>
      <c r="V18" s="72"/>
      <c r="W18" s="72"/>
      <c r="X18" s="66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49"/>
    </row>
    <row r="19" ht="21.0" customHeight="1">
      <c r="A19" s="13"/>
      <c r="B19" s="40">
        <v>2.0</v>
      </c>
      <c r="C19" s="41" t="s">
        <v>36</v>
      </c>
      <c r="D19" s="42"/>
      <c r="E19" s="43"/>
      <c r="F19" s="43"/>
      <c r="G19" s="43"/>
      <c r="H19" s="43"/>
      <c r="I19" s="44"/>
      <c r="J19" s="44"/>
      <c r="K19" s="45"/>
      <c r="L19" s="46"/>
      <c r="M19" s="46"/>
      <c r="N19" s="47"/>
      <c r="O19" s="44"/>
      <c r="P19" s="47"/>
      <c r="Q19" s="44"/>
      <c r="R19" s="47"/>
      <c r="S19" s="47"/>
      <c r="T19" s="47"/>
      <c r="U19" s="47"/>
      <c r="V19" s="47"/>
      <c r="W19" s="47"/>
      <c r="X19" s="48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</row>
    <row r="20" ht="17.25" customHeight="1" outlineLevel="1">
      <c r="A20" s="49"/>
      <c r="B20" s="50">
        <v>2.1</v>
      </c>
      <c r="C20" s="51" t="s">
        <v>37</v>
      </c>
      <c r="D20" s="52" t="s">
        <v>27</v>
      </c>
      <c r="E20" s="53">
        <v>45999.0</v>
      </c>
      <c r="F20" s="53">
        <v>46001.0</v>
      </c>
      <c r="G20" s="52">
        <f>DAYS360(E20,F20)</f>
        <v>2</v>
      </c>
      <c r="H20" s="54">
        <v>0.4</v>
      </c>
      <c r="I20" s="75"/>
      <c r="J20" s="76"/>
      <c r="K20" s="76"/>
      <c r="L20" s="76"/>
      <c r="M20" s="56"/>
      <c r="N20" s="56"/>
      <c r="O20" s="58"/>
      <c r="P20" s="58"/>
      <c r="Q20" s="58"/>
      <c r="R20" s="58"/>
      <c r="S20" s="58"/>
      <c r="T20" s="59"/>
      <c r="U20" s="59"/>
      <c r="V20" s="59"/>
      <c r="W20" s="59"/>
      <c r="X20" s="60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49"/>
    </row>
    <row r="21" ht="17.25" customHeight="1" outlineLevel="1">
      <c r="A21" s="49"/>
      <c r="B21" s="50">
        <v>2.2</v>
      </c>
      <c r="C21" s="51" t="s">
        <v>38</v>
      </c>
      <c r="D21" s="52" t="s">
        <v>31</v>
      </c>
      <c r="E21" s="53">
        <v>45999.0</v>
      </c>
      <c r="F21" s="53">
        <v>46001.0</v>
      </c>
      <c r="G21" s="52">
        <v>3.0</v>
      </c>
      <c r="H21" s="77">
        <v>0.4</v>
      </c>
      <c r="I21" s="75"/>
      <c r="J21" s="76"/>
      <c r="K21" s="76"/>
      <c r="L21" s="76"/>
      <c r="M21" s="61"/>
      <c r="N21" s="63"/>
      <c r="O21" s="64"/>
      <c r="P21" s="65"/>
      <c r="Q21" s="65"/>
      <c r="R21" s="65"/>
      <c r="S21" s="65"/>
      <c r="T21" s="63"/>
      <c r="U21" s="63"/>
      <c r="V21" s="63"/>
      <c r="W21" s="63"/>
      <c r="X21" s="66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49"/>
    </row>
    <row r="22" ht="17.25" customHeight="1" outlineLevel="1">
      <c r="A22" s="49"/>
      <c r="B22" s="50">
        <v>2.3</v>
      </c>
      <c r="C22" s="51" t="s">
        <v>39</v>
      </c>
      <c r="D22" s="52" t="s">
        <v>27</v>
      </c>
      <c r="E22" s="53">
        <v>45999.0</v>
      </c>
      <c r="F22" s="53">
        <v>46002.0</v>
      </c>
      <c r="G22" s="52">
        <f t="shared" ref="G22:G25" si="2">DAYS360(E22,F22)</f>
        <v>3</v>
      </c>
      <c r="H22" s="54">
        <v>0.3</v>
      </c>
      <c r="I22" s="75"/>
      <c r="J22" s="76"/>
      <c r="K22" s="76"/>
      <c r="L22" s="76"/>
      <c r="M22" s="76"/>
      <c r="N22" s="63"/>
      <c r="O22" s="65"/>
      <c r="P22" s="65"/>
      <c r="Q22" s="65"/>
      <c r="R22" s="65"/>
      <c r="S22" s="65"/>
      <c r="T22" s="63"/>
      <c r="U22" s="63"/>
      <c r="V22" s="63"/>
      <c r="W22" s="63"/>
      <c r="X22" s="66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49"/>
    </row>
    <row r="23" ht="17.25" customHeight="1" outlineLevel="1">
      <c r="A23" s="49"/>
      <c r="B23" s="50">
        <v>2.4</v>
      </c>
      <c r="C23" s="51" t="s">
        <v>40</v>
      </c>
      <c r="D23" s="52" t="s">
        <v>31</v>
      </c>
      <c r="E23" s="53">
        <v>45999.0</v>
      </c>
      <c r="F23" s="53">
        <v>46007.0</v>
      </c>
      <c r="G23" s="52">
        <f t="shared" si="2"/>
        <v>8</v>
      </c>
      <c r="H23" s="77">
        <v>0.0</v>
      </c>
      <c r="I23" s="75"/>
      <c r="J23" s="76"/>
      <c r="K23" s="76"/>
      <c r="L23" s="76"/>
      <c r="M23" s="76"/>
      <c r="N23" s="76"/>
      <c r="O23" s="76"/>
      <c r="P23" s="76"/>
      <c r="Q23" s="65"/>
      <c r="R23" s="65"/>
      <c r="S23" s="65"/>
      <c r="T23" s="63"/>
      <c r="U23" s="63"/>
      <c r="V23" s="63"/>
      <c r="W23" s="63"/>
      <c r="X23" s="66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49"/>
    </row>
    <row r="24" ht="17.25" customHeight="1" outlineLevel="1">
      <c r="A24" s="49"/>
      <c r="B24" s="50">
        <v>2.5</v>
      </c>
      <c r="C24" s="51" t="s">
        <v>41</v>
      </c>
      <c r="D24" s="52" t="s">
        <v>27</v>
      </c>
      <c r="E24" s="53">
        <v>46000.0</v>
      </c>
      <c r="F24" s="53">
        <v>46008.0</v>
      </c>
      <c r="G24" s="52">
        <f t="shared" si="2"/>
        <v>8</v>
      </c>
      <c r="H24" s="77">
        <v>0.0</v>
      </c>
      <c r="I24" s="75"/>
      <c r="J24" s="78"/>
      <c r="K24" s="76"/>
      <c r="L24" s="76"/>
      <c r="M24" s="76"/>
      <c r="N24" s="76"/>
      <c r="O24" s="76"/>
      <c r="P24" s="76"/>
      <c r="Q24" s="76"/>
      <c r="R24" s="65"/>
      <c r="S24" s="65"/>
      <c r="T24" s="63"/>
      <c r="U24" s="61"/>
      <c r="V24" s="61"/>
      <c r="W24" s="61"/>
      <c r="X24" s="79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49"/>
    </row>
    <row r="25" outlineLevel="1">
      <c r="A25" s="49"/>
      <c r="B25" s="50">
        <v>2.6</v>
      </c>
      <c r="C25" s="51" t="s">
        <v>42</v>
      </c>
      <c r="D25" s="52" t="s">
        <v>31</v>
      </c>
      <c r="E25" s="53">
        <v>46000.0</v>
      </c>
      <c r="F25" s="53">
        <v>46008.0</v>
      </c>
      <c r="G25" s="52">
        <f t="shared" si="2"/>
        <v>8</v>
      </c>
      <c r="H25" s="77">
        <v>0.0</v>
      </c>
      <c r="I25" s="75"/>
      <c r="J25" s="61"/>
      <c r="K25" s="76"/>
      <c r="L25" s="76"/>
      <c r="M25" s="76"/>
      <c r="N25" s="76"/>
      <c r="O25" s="76"/>
      <c r="P25" s="76"/>
      <c r="Q25" s="76"/>
      <c r="R25" s="65"/>
      <c r="S25" s="65"/>
      <c r="T25" s="63"/>
      <c r="U25" s="61"/>
      <c r="V25" s="61"/>
      <c r="W25" s="61"/>
      <c r="X25" s="66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49"/>
    </row>
    <row r="26" ht="21.0" customHeight="1">
      <c r="A26" s="13"/>
      <c r="B26" s="40">
        <v>3.0</v>
      </c>
      <c r="C26" s="41" t="s">
        <v>43</v>
      </c>
      <c r="D26" s="42"/>
      <c r="E26" s="43"/>
      <c r="F26" s="43"/>
      <c r="G26" s="43"/>
      <c r="H26" s="43"/>
      <c r="I26" s="44"/>
      <c r="J26" s="44"/>
      <c r="K26" s="45"/>
      <c r="L26" s="46"/>
      <c r="M26" s="46"/>
      <c r="N26" s="47"/>
      <c r="O26" s="44"/>
      <c r="P26" s="47"/>
      <c r="Q26" s="44"/>
      <c r="R26" s="47"/>
      <c r="S26" s="47"/>
      <c r="T26" s="47"/>
      <c r="U26" s="47"/>
      <c r="V26" s="47"/>
      <c r="W26" s="47"/>
      <c r="X26" s="48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</row>
    <row r="27" ht="17.25" customHeight="1" outlineLevel="1">
      <c r="A27" s="49"/>
      <c r="B27" s="50">
        <v>3.1</v>
      </c>
      <c r="C27" s="51" t="s">
        <v>44</v>
      </c>
      <c r="D27" s="52" t="s">
        <v>27</v>
      </c>
      <c r="E27" s="53">
        <v>45999.0</v>
      </c>
      <c r="F27" s="53">
        <v>46007.0</v>
      </c>
      <c r="G27" s="52">
        <f t="shared" ref="G27:G33" si="3">DAYS360(E27,F27)</f>
        <v>8</v>
      </c>
      <c r="H27" s="54">
        <v>0.0</v>
      </c>
      <c r="I27" s="75"/>
      <c r="J27" s="76"/>
      <c r="K27" s="76"/>
      <c r="L27" s="76"/>
      <c r="M27" s="76"/>
      <c r="N27" s="76"/>
      <c r="O27" s="76"/>
      <c r="P27" s="76"/>
      <c r="Q27" s="65"/>
      <c r="R27" s="65"/>
      <c r="S27" s="65"/>
      <c r="T27" s="59"/>
      <c r="U27" s="59"/>
      <c r="V27" s="59"/>
      <c r="W27" s="59"/>
      <c r="X27" s="60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49"/>
    </row>
    <row r="28" ht="17.25" customHeight="1" outlineLevel="1">
      <c r="A28" s="49"/>
      <c r="B28" s="50">
        <v>3.2</v>
      </c>
      <c r="C28" s="51" t="s">
        <v>45</v>
      </c>
      <c r="D28" s="52" t="s">
        <v>27</v>
      </c>
      <c r="E28" s="53">
        <v>46000.0</v>
      </c>
      <c r="F28" s="53">
        <v>46008.0</v>
      </c>
      <c r="G28" s="52">
        <f t="shared" si="3"/>
        <v>8</v>
      </c>
      <c r="H28" s="54">
        <v>0.0</v>
      </c>
      <c r="I28" s="75"/>
      <c r="J28" s="78"/>
      <c r="K28" s="76"/>
      <c r="L28" s="76"/>
      <c r="M28" s="76"/>
      <c r="N28" s="76"/>
      <c r="O28" s="76"/>
      <c r="P28" s="76"/>
      <c r="Q28" s="76"/>
      <c r="R28" s="65"/>
      <c r="S28" s="65"/>
      <c r="T28" s="63"/>
      <c r="U28" s="63"/>
      <c r="V28" s="63"/>
      <c r="W28" s="63"/>
      <c r="X28" s="66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49"/>
    </row>
    <row r="29" ht="17.25" customHeight="1" outlineLevel="1">
      <c r="A29" s="49"/>
      <c r="B29" s="50">
        <v>3.3</v>
      </c>
      <c r="C29" s="51" t="s">
        <v>46</v>
      </c>
      <c r="D29" s="52" t="s">
        <v>31</v>
      </c>
      <c r="E29" s="53">
        <v>46001.0</v>
      </c>
      <c r="F29" s="53">
        <v>46008.0</v>
      </c>
      <c r="G29" s="52">
        <f t="shared" si="3"/>
        <v>7</v>
      </c>
      <c r="H29" s="54">
        <v>0.0</v>
      </c>
      <c r="I29" s="75"/>
      <c r="J29" s="80"/>
      <c r="K29" s="62"/>
      <c r="L29" s="76"/>
      <c r="M29" s="76"/>
      <c r="N29" s="76"/>
      <c r="O29" s="76"/>
      <c r="P29" s="76"/>
      <c r="Q29" s="76"/>
      <c r="R29" s="65"/>
      <c r="S29" s="65"/>
      <c r="T29" s="56"/>
      <c r="U29" s="56"/>
      <c r="V29" s="56"/>
      <c r="W29" s="56"/>
      <c r="X29" s="66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49"/>
    </row>
    <row r="30" ht="17.25" customHeight="1" outlineLevel="1">
      <c r="A30" s="49"/>
      <c r="B30" s="50">
        <v>3.4</v>
      </c>
      <c r="C30" s="51" t="s">
        <v>47</v>
      </c>
      <c r="D30" s="52" t="s">
        <v>27</v>
      </c>
      <c r="E30" s="53">
        <v>46002.0</v>
      </c>
      <c r="F30" s="53">
        <v>46010.0</v>
      </c>
      <c r="G30" s="52">
        <f t="shared" si="3"/>
        <v>8</v>
      </c>
      <c r="H30" s="77">
        <v>0.0</v>
      </c>
      <c r="I30" s="75"/>
      <c r="J30" s="80"/>
      <c r="K30" s="62"/>
      <c r="L30" s="61"/>
      <c r="M30" s="76"/>
      <c r="N30" s="76"/>
      <c r="O30" s="76"/>
      <c r="P30" s="76"/>
      <c r="Q30" s="76"/>
      <c r="R30" s="76"/>
      <c r="S30" s="76"/>
      <c r="T30" s="56"/>
      <c r="U30" s="56"/>
      <c r="V30" s="56"/>
      <c r="W30" s="56"/>
      <c r="X30" s="66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49"/>
    </row>
    <row r="31" ht="17.25" customHeight="1" outlineLevel="1">
      <c r="A31" s="49"/>
      <c r="B31" s="50">
        <v>3.5</v>
      </c>
      <c r="C31" s="51" t="s">
        <v>48</v>
      </c>
      <c r="D31" s="52" t="s">
        <v>31</v>
      </c>
      <c r="E31" s="53">
        <v>46002.0</v>
      </c>
      <c r="F31" s="53">
        <v>46010.0</v>
      </c>
      <c r="G31" s="52">
        <f t="shared" si="3"/>
        <v>8</v>
      </c>
      <c r="H31" s="77">
        <v>0.0</v>
      </c>
      <c r="I31" s="75"/>
      <c r="J31" s="80"/>
      <c r="K31" s="62"/>
      <c r="L31" s="61"/>
      <c r="M31" s="76"/>
      <c r="N31" s="76"/>
      <c r="O31" s="76"/>
      <c r="P31" s="76"/>
      <c r="Q31" s="76"/>
      <c r="R31" s="76"/>
      <c r="S31" s="76"/>
      <c r="T31" s="56"/>
      <c r="U31" s="56"/>
      <c r="V31" s="56"/>
      <c r="W31" s="56"/>
      <c r="X31" s="66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49"/>
    </row>
    <row r="32" ht="17.25" customHeight="1" outlineLevel="1">
      <c r="A32" s="49"/>
      <c r="B32" s="50">
        <v>3.6</v>
      </c>
      <c r="C32" s="51" t="s">
        <v>49</v>
      </c>
      <c r="D32" s="52" t="s">
        <v>27</v>
      </c>
      <c r="E32" s="53">
        <v>46003.0</v>
      </c>
      <c r="F32" s="53">
        <v>46010.0</v>
      </c>
      <c r="G32" s="52">
        <f t="shared" si="3"/>
        <v>7</v>
      </c>
      <c r="H32" s="54">
        <v>0.0</v>
      </c>
      <c r="I32" s="75"/>
      <c r="J32" s="80"/>
      <c r="K32" s="62"/>
      <c r="L32" s="61"/>
      <c r="M32" s="61"/>
      <c r="N32" s="76"/>
      <c r="O32" s="76"/>
      <c r="P32" s="76"/>
      <c r="Q32" s="76"/>
      <c r="R32" s="76"/>
      <c r="S32" s="76"/>
      <c r="T32" s="56"/>
      <c r="U32" s="56"/>
      <c r="V32" s="56"/>
      <c r="W32" s="56"/>
      <c r="X32" s="66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49"/>
    </row>
    <row r="33" ht="17.25" customHeight="1" outlineLevel="1">
      <c r="A33" s="49"/>
      <c r="B33" s="50">
        <v>3.7</v>
      </c>
      <c r="C33" s="51" t="s">
        <v>50</v>
      </c>
      <c r="D33" s="52" t="s">
        <v>31</v>
      </c>
      <c r="E33" s="53">
        <v>46003.0</v>
      </c>
      <c r="F33" s="53">
        <v>46010.0</v>
      </c>
      <c r="G33" s="52">
        <f t="shared" si="3"/>
        <v>7</v>
      </c>
      <c r="H33" s="54">
        <v>0.0</v>
      </c>
      <c r="I33" s="75"/>
      <c r="J33" s="80"/>
      <c r="K33" s="62"/>
      <c r="L33" s="63"/>
      <c r="M33" s="63"/>
      <c r="N33" s="76"/>
      <c r="O33" s="76"/>
      <c r="P33" s="76"/>
      <c r="Q33" s="76"/>
      <c r="R33" s="76"/>
      <c r="S33" s="76"/>
      <c r="T33" s="56"/>
      <c r="U33" s="56"/>
      <c r="V33" s="56"/>
      <c r="W33" s="56"/>
      <c r="X33" s="66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49"/>
    </row>
    <row r="34" ht="21.0" customHeight="1">
      <c r="A34" s="13"/>
      <c r="B34" s="40">
        <v>4.0</v>
      </c>
      <c r="C34" s="41" t="s">
        <v>51</v>
      </c>
      <c r="D34" s="42"/>
      <c r="E34" s="43"/>
      <c r="F34" s="43"/>
      <c r="G34" s="43"/>
      <c r="H34" s="43"/>
      <c r="I34" s="44"/>
      <c r="J34" s="44"/>
      <c r="K34" s="45"/>
      <c r="L34" s="46"/>
      <c r="M34" s="46"/>
      <c r="N34" s="47"/>
      <c r="O34" s="44"/>
      <c r="P34" s="47"/>
      <c r="Q34" s="44"/>
      <c r="R34" s="47"/>
      <c r="S34" s="47"/>
      <c r="T34" s="47"/>
      <c r="U34" s="47"/>
      <c r="V34" s="47"/>
      <c r="W34" s="47"/>
      <c r="X34" s="48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</row>
    <row r="35" ht="17.25" customHeight="1" outlineLevel="1">
      <c r="A35" s="49"/>
      <c r="B35" s="50">
        <v>4.1</v>
      </c>
      <c r="C35" s="51" t="s">
        <v>52</v>
      </c>
      <c r="D35" s="52" t="s">
        <v>31</v>
      </c>
      <c r="E35" s="53">
        <v>46008.0</v>
      </c>
      <c r="F35" s="53">
        <v>46013.0</v>
      </c>
      <c r="G35" s="52">
        <f t="shared" ref="G35:G39" si="4">DAYS360(E35,F35)</f>
        <v>5</v>
      </c>
      <c r="H35" s="54">
        <v>0.0</v>
      </c>
      <c r="I35" s="75"/>
      <c r="J35" s="78"/>
      <c r="K35" s="57"/>
      <c r="L35" s="56"/>
      <c r="M35" s="56"/>
      <c r="N35" s="56"/>
      <c r="O35" s="58"/>
      <c r="P35" s="58"/>
      <c r="Q35" s="76"/>
      <c r="R35" s="76"/>
      <c r="S35" s="76"/>
      <c r="T35" s="76"/>
      <c r="U35" s="56"/>
      <c r="V35" s="56"/>
      <c r="W35" s="59"/>
      <c r="X35" s="60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49"/>
    </row>
    <row r="36" ht="17.25" customHeight="1" outlineLevel="1">
      <c r="A36" s="49"/>
      <c r="B36" s="50">
        <v>4.2</v>
      </c>
      <c r="C36" s="51" t="s">
        <v>53</v>
      </c>
      <c r="D36" s="52" t="s">
        <v>27</v>
      </c>
      <c r="E36" s="53">
        <v>46008.0</v>
      </c>
      <c r="F36" s="53">
        <v>46013.0</v>
      </c>
      <c r="G36" s="52">
        <f t="shared" si="4"/>
        <v>5</v>
      </c>
      <c r="H36" s="54">
        <v>0.0</v>
      </c>
      <c r="I36" s="75"/>
      <c r="J36" s="80"/>
      <c r="K36" s="62"/>
      <c r="L36" s="61"/>
      <c r="M36" s="61"/>
      <c r="N36" s="63"/>
      <c r="O36" s="58"/>
      <c r="P36" s="58"/>
      <c r="Q36" s="76"/>
      <c r="R36" s="76"/>
      <c r="S36" s="76"/>
      <c r="T36" s="76"/>
      <c r="U36" s="56"/>
      <c r="V36" s="56"/>
      <c r="W36" s="63"/>
      <c r="X36" s="66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49"/>
    </row>
    <row r="37" ht="17.25" customHeight="1" outlineLevel="1">
      <c r="A37" s="49"/>
      <c r="B37" s="50">
        <v>4.3</v>
      </c>
      <c r="C37" s="51" t="s">
        <v>54</v>
      </c>
      <c r="D37" s="52" t="s">
        <v>31</v>
      </c>
      <c r="E37" s="53">
        <v>46008.0</v>
      </c>
      <c r="F37" s="53">
        <v>46013.0</v>
      </c>
      <c r="G37" s="52">
        <f t="shared" si="4"/>
        <v>5</v>
      </c>
      <c r="H37" s="54">
        <v>0.0</v>
      </c>
      <c r="I37" s="75"/>
      <c r="J37" s="80"/>
      <c r="K37" s="62"/>
      <c r="L37" s="61"/>
      <c r="M37" s="61"/>
      <c r="N37" s="63"/>
      <c r="O37" s="58"/>
      <c r="P37" s="58"/>
      <c r="Q37" s="76"/>
      <c r="R37" s="76"/>
      <c r="S37" s="76"/>
      <c r="T37" s="76"/>
      <c r="U37" s="56"/>
      <c r="V37" s="56"/>
      <c r="W37" s="56"/>
      <c r="X37" s="66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49"/>
    </row>
    <row r="38" ht="17.25" customHeight="1" outlineLevel="1">
      <c r="A38" s="49"/>
      <c r="B38" s="50">
        <v>4.4</v>
      </c>
      <c r="C38" s="51" t="s">
        <v>55</v>
      </c>
      <c r="D38" s="52" t="s">
        <v>27</v>
      </c>
      <c r="E38" s="53">
        <v>46008.0</v>
      </c>
      <c r="F38" s="53">
        <v>46014.0</v>
      </c>
      <c r="G38" s="52">
        <f t="shared" si="4"/>
        <v>6</v>
      </c>
      <c r="H38" s="54">
        <v>0.0</v>
      </c>
      <c r="I38" s="75"/>
      <c r="J38" s="80"/>
      <c r="K38" s="62"/>
      <c r="L38" s="61"/>
      <c r="M38" s="61"/>
      <c r="N38" s="63"/>
      <c r="O38" s="58"/>
      <c r="P38" s="58"/>
      <c r="Q38" s="76"/>
      <c r="R38" s="76"/>
      <c r="S38" s="76"/>
      <c r="T38" s="76"/>
      <c r="U38" s="76"/>
      <c r="V38" s="56"/>
      <c r="W38" s="56"/>
      <c r="X38" s="66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49"/>
    </row>
    <row r="39" ht="17.25" customHeight="1" outlineLevel="1">
      <c r="A39" s="49"/>
      <c r="B39" s="50">
        <v>4.5</v>
      </c>
      <c r="C39" s="51" t="s">
        <v>56</v>
      </c>
      <c r="D39" s="52" t="s">
        <v>31</v>
      </c>
      <c r="E39" s="53">
        <v>46008.0</v>
      </c>
      <c r="F39" s="53">
        <v>46015.0</v>
      </c>
      <c r="G39" s="52">
        <f t="shared" si="4"/>
        <v>7</v>
      </c>
      <c r="H39" s="77">
        <v>0.0</v>
      </c>
      <c r="I39" s="75"/>
      <c r="J39" s="80"/>
      <c r="K39" s="62"/>
      <c r="L39" s="61"/>
      <c r="M39" s="61"/>
      <c r="N39" s="63"/>
      <c r="O39" s="58"/>
      <c r="P39" s="58"/>
      <c r="Q39" s="76"/>
      <c r="R39" s="76"/>
      <c r="S39" s="76"/>
      <c r="T39" s="76"/>
      <c r="U39" s="76"/>
      <c r="V39" s="76"/>
      <c r="W39" s="56"/>
      <c r="X39" s="66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49"/>
    </row>
    <row r="40" ht="21.0" customHeight="1">
      <c r="A40" s="13"/>
      <c r="B40" s="40">
        <v>5.0</v>
      </c>
      <c r="C40" s="41" t="s">
        <v>57</v>
      </c>
      <c r="D40" s="42"/>
      <c r="E40" s="43"/>
      <c r="F40" s="43"/>
      <c r="G40" s="43"/>
      <c r="H40" s="43"/>
      <c r="I40" s="44"/>
      <c r="J40" s="44"/>
      <c r="K40" s="45"/>
      <c r="L40" s="46"/>
      <c r="M40" s="46"/>
      <c r="N40" s="47"/>
      <c r="O40" s="44"/>
      <c r="P40" s="47"/>
      <c r="Q40" s="44"/>
      <c r="R40" s="47"/>
      <c r="S40" s="47"/>
      <c r="T40" s="47"/>
      <c r="U40" s="47"/>
      <c r="V40" s="47"/>
      <c r="W40" s="47"/>
      <c r="X40" s="48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</row>
    <row r="41" ht="21.0" customHeight="1">
      <c r="A41" s="13"/>
      <c r="B41" s="50">
        <v>5.1</v>
      </c>
      <c r="C41" s="51" t="s">
        <v>58</v>
      </c>
      <c r="D41" s="52" t="s">
        <v>27</v>
      </c>
      <c r="E41" s="53">
        <v>46008.0</v>
      </c>
      <c r="F41" s="53">
        <v>46015.0</v>
      </c>
      <c r="G41" s="52">
        <f t="shared" ref="G41:G45" si="5">DAYS360(E41,F41)</f>
        <v>7</v>
      </c>
      <c r="H41" s="54">
        <v>0.0</v>
      </c>
      <c r="I41" s="75"/>
      <c r="J41" s="78"/>
      <c r="K41" s="57"/>
      <c r="L41" s="56"/>
      <c r="M41" s="56"/>
      <c r="N41" s="56"/>
      <c r="O41" s="58"/>
      <c r="P41" s="58"/>
      <c r="Q41" s="76"/>
      <c r="R41" s="76"/>
      <c r="S41" s="76"/>
      <c r="T41" s="76"/>
      <c r="U41" s="76"/>
      <c r="V41" s="76"/>
      <c r="W41" s="59"/>
      <c r="X41" s="60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</row>
    <row r="42" ht="21.0" customHeight="1">
      <c r="A42" s="13"/>
      <c r="B42" s="50">
        <v>5.2</v>
      </c>
      <c r="C42" s="51" t="s">
        <v>59</v>
      </c>
      <c r="D42" s="52" t="s">
        <v>31</v>
      </c>
      <c r="E42" s="53">
        <v>46008.0</v>
      </c>
      <c r="F42" s="53">
        <v>46015.0</v>
      </c>
      <c r="G42" s="52">
        <f t="shared" si="5"/>
        <v>7</v>
      </c>
      <c r="H42" s="54">
        <v>0.0</v>
      </c>
      <c r="I42" s="75"/>
      <c r="J42" s="80"/>
      <c r="K42" s="62"/>
      <c r="L42" s="61"/>
      <c r="M42" s="61"/>
      <c r="N42" s="63"/>
      <c r="O42" s="58"/>
      <c r="P42" s="58"/>
      <c r="Q42" s="76"/>
      <c r="R42" s="76"/>
      <c r="S42" s="76"/>
      <c r="T42" s="76"/>
      <c r="U42" s="76"/>
      <c r="V42" s="76"/>
      <c r="W42" s="63"/>
      <c r="X42" s="66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</row>
    <row r="43" ht="21.0" customHeight="1">
      <c r="A43" s="13"/>
      <c r="B43" s="50">
        <v>5.3</v>
      </c>
      <c r="C43" s="51" t="s">
        <v>60</v>
      </c>
      <c r="D43" s="52" t="s">
        <v>27</v>
      </c>
      <c r="E43" s="53">
        <v>46008.0</v>
      </c>
      <c r="F43" s="53">
        <v>46015.0</v>
      </c>
      <c r="G43" s="52">
        <f t="shared" si="5"/>
        <v>7</v>
      </c>
      <c r="H43" s="54">
        <v>0.0</v>
      </c>
      <c r="I43" s="75"/>
      <c r="J43" s="80"/>
      <c r="K43" s="62"/>
      <c r="L43" s="61"/>
      <c r="M43" s="61"/>
      <c r="N43" s="63"/>
      <c r="O43" s="58"/>
      <c r="P43" s="58"/>
      <c r="Q43" s="76"/>
      <c r="R43" s="76"/>
      <c r="S43" s="76"/>
      <c r="T43" s="76"/>
      <c r="U43" s="76"/>
      <c r="V43" s="76"/>
      <c r="W43" s="56"/>
      <c r="X43" s="66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</row>
    <row r="44" ht="21.0" customHeight="1">
      <c r="A44" s="13"/>
      <c r="B44" s="50">
        <v>5.4</v>
      </c>
      <c r="C44" s="51" t="s">
        <v>61</v>
      </c>
      <c r="D44" s="52" t="s">
        <v>31</v>
      </c>
      <c r="E44" s="53">
        <v>46008.0</v>
      </c>
      <c r="F44" s="53">
        <v>46015.0</v>
      </c>
      <c r="G44" s="52">
        <f t="shared" si="5"/>
        <v>7</v>
      </c>
      <c r="H44" s="77">
        <v>0.0</v>
      </c>
      <c r="I44" s="75"/>
      <c r="J44" s="80"/>
      <c r="K44" s="62"/>
      <c r="L44" s="61"/>
      <c r="M44" s="61"/>
      <c r="N44" s="63"/>
      <c r="O44" s="58"/>
      <c r="P44" s="58"/>
      <c r="Q44" s="76"/>
      <c r="R44" s="76"/>
      <c r="S44" s="76"/>
      <c r="T44" s="76"/>
      <c r="U44" s="76"/>
      <c r="V44" s="76"/>
      <c r="W44" s="56"/>
      <c r="X44" s="66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</row>
    <row r="45" ht="21.0" customHeight="1">
      <c r="A45" s="13"/>
      <c r="B45" s="50">
        <v>5.5</v>
      </c>
      <c r="C45" s="51" t="s">
        <v>62</v>
      </c>
      <c r="D45" s="52" t="s">
        <v>27</v>
      </c>
      <c r="E45" s="53">
        <v>46013.0</v>
      </c>
      <c r="F45" s="53">
        <v>46015.0</v>
      </c>
      <c r="G45" s="52">
        <f t="shared" si="5"/>
        <v>2</v>
      </c>
      <c r="H45" s="77">
        <v>0.0</v>
      </c>
      <c r="I45" s="81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4"/>
      <c r="U45" s="84"/>
      <c r="V45" s="84"/>
      <c r="W45" s="85"/>
      <c r="X45" s="86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</row>
  </sheetData>
  <mergeCells count="20">
    <mergeCell ref="T9:X9"/>
    <mergeCell ref="O9:S9"/>
    <mergeCell ref="I8:X8"/>
    <mergeCell ref="J9:N9"/>
    <mergeCell ref="C8:C10"/>
    <mergeCell ref="B8:B10"/>
    <mergeCell ref="D4:G4"/>
    <mergeCell ref="B4:C4"/>
    <mergeCell ref="G8:G10"/>
    <mergeCell ref="F8:F10"/>
    <mergeCell ref="D8:D10"/>
    <mergeCell ref="E8:E10"/>
    <mergeCell ref="H8:H10"/>
    <mergeCell ref="D5:G5"/>
    <mergeCell ref="B5:C5"/>
    <mergeCell ref="Q5:X5"/>
    <mergeCell ref="Q4:X4"/>
    <mergeCell ref="I4:P4"/>
    <mergeCell ref="I5:P5"/>
    <mergeCell ref="B2:X2"/>
  </mergeCells>
  <conditionalFormatting sqref="H12:H18 H20:H4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4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